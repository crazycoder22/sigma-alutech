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<sst xmlns="http://schemas.openxmlformats.org/spreadsheetml/2006/main" count="48" uniqueCount="44">
  <si>
    <t>ACME FABRICATION</t>
  </si>
  <si>
    <t>ATTENDANCE &amp; SALARY DETAILS - TEST</t>
  </si>
  <si>
    <t>SL</t>
  </si>
  <si>
    <t>NAME</t>
  </si>
  <si>
    <t>NO OF</t>
  </si>
  <si>
    <t>NO OF DAYS</t>
  </si>
  <si>
    <t>GROSS</t>
  </si>
  <si>
    <t>SAL/</t>
  </si>
  <si>
    <t>NET</t>
  </si>
  <si>
    <t>OT</t>
  </si>
  <si>
    <t>OUTSIDE</t>
  </si>
  <si>
    <t>TOTAL</t>
  </si>
  <si>
    <t>ADVANCE</t>
  </si>
  <si>
    <t>BALANCE</t>
  </si>
  <si>
    <t>NET SALARY</t>
  </si>
  <si>
    <t>ATTND</t>
  </si>
  <si>
    <t>PHONE BILL</t>
  </si>
  <si>
    <t>EMPLOYEE PF</t>
  </si>
  <si>
    <t>BUS</t>
  </si>
  <si>
    <t xml:space="preserve">ANNUAL </t>
  </si>
  <si>
    <t>NO</t>
  </si>
  <si>
    <t>DAYS</t>
  </si>
  <si>
    <t>WORKED</t>
  </si>
  <si>
    <t>SALARY</t>
  </si>
  <si>
    <t>DAY</t>
  </si>
  <si>
    <t>HRS</t>
  </si>
  <si>
    <t>AMT</t>
  </si>
  <si>
    <t>PAY</t>
  </si>
  <si>
    <t>PENDING</t>
  </si>
  <si>
    <t>DEDUCTED</t>
  </si>
  <si>
    <t>PAID</t>
  </si>
  <si>
    <t>BONUS &amp; MISC</t>
  </si>
  <si>
    <t>DEDUCTION</t>
  </si>
  <si>
    <t>CONTRIBUTION</t>
  </si>
  <si>
    <t>PASS</t>
  </si>
  <si>
    <t>BONUS</t>
  </si>
  <si>
    <t>ARJUN RAO</t>
  </si>
  <si>
    <t>BHAVNA SINGH</t>
  </si>
  <si>
    <t>CHETAN M</t>
  </si>
  <si>
    <t>DEEPAK N</t>
  </si>
  <si>
    <t>ESHA PATEL</t>
  </si>
  <si>
    <t>FARHAN K</t>
  </si>
  <si>
    <t>GAURAV S</t>
  </si>
  <si>
    <t>HEMA R (HELPER)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</si>
</sst>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3"/>
  <sheetFormatPr defaultRowHeight="15" outlineLevelRow="0" outlineLevelCol="0" x14ac:dyDescent="55"/>
  <sheetData>
    <row r="2" spans="10:10" x14ac:dyDescent="0.25">
      <c r="J2" t="s">
        <v>0</v>
      </c>
    </row>
    <row r="4" spans="10:10" x14ac:dyDescent="0.25">
      <c r="J4" t="s">
        <v>1</v>
      </c>
    </row>
    <row r="6" spans="1:20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9</v>
      </c>
      <c r="J6" t="s">
        <v>10</v>
      </c>
      <c r="K6" t="s">
        <v>11</v>
      </c>
      <c r="L6" t="s">
        <v>12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</row>
    <row r="7" spans="1:20" x14ac:dyDescent="0.25">
      <c r="A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23</v>
      </c>
      <c r="H7" t="s">
        <v>25</v>
      </c>
      <c r="I7" t="s">
        <v>26</v>
      </c>
      <c r="J7" t="s">
        <v>27</v>
      </c>
      <c r="L7" t="s">
        <v>28</v>
      </c>
      <c r="M7" t="s">
        <v>29</v>
      </c>
      <c r="N7" t="s">
        <v>12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</row>
    <row r="9" spans="1:20" x14ac:dyDescent="0.25">
      <c r="A9">
        <v>1</v>
      </c>
      <c r="B9" t="s">
        <v>36</v>
      </c>
      <c r="C9">
        <v>30</v>
      </c>
      <c r="D9">
        <v>30</v>
      </c>
      <c r="E9">
        <v>30000</v>
      </c>
      <c r="F9">
        <f>E9/30</f>
        <v>1000</v>
      </c>
      <c r="G9">
        <f>D9*F9</f>
        <v>30000</v>
      </c>
      <c r="I9">
        <f>H9/(8.5)*F9</f>
        <v>0</v>
      </c>
      <c r="J9">
        <v>0</v>
      </c>
      <c r="K9">
        <f>G9+I9+J9</f>
        <v>30000</v>
      </c>
      <c r="L9">
        <v>0</v>
      </c>
      <c r="M9">
        <v>0</v>
      </c>
      <c r="N9">
        <f>L9-M9</f>
        <v>0</v>
      </c>
      <c r="O9">
        <f>K9+P9+S9+T9-M9-Q9-R9</f>
        <v>31200</v>
      </c>
      <c r="P9">
        <v>0</v>
      </c>
      <c r="Q9">
        <v>0</v>
      </c>
      <c r="R9">
        <v>0</v>
      </c>
      <c r="S9">
        <v>1200</v>
      </c>
      <c r="T9">
        <v>0</v>
      </c>
    </row>
    <row r="11" spans="1:20" x14ac:dyDescent="0.25">
      <c r="A11">
        <v>2</v>
      </c>
      <c r="B11" t="s">
        <v>37</v>
      </c>
      <c r="C11">
        <v>30</v>
      </c>
      <c r="D11">
        <v>28</v>
      </c>
      <c r="E11">
        <v>39000</v>
      </c>
      <c r="F11">
        <f>E11/30</f>
        <v>1300</v>
      </c>
      <c r="G11">
        <f>D11*F11</f>
        <v>36400</v>
      </c>
      <c r="I11">
        <f>H11/(8.5)*F11</f>
        <v>0</v>
      </c>
      <c r="J11">
        <v>5100</v>
      </c>
      <c r="K11">
        <f>G11+I11+J11</f>
        <v>41500</v>
      </c>
      <c r="L11">
        <v>2500</v>
      </c>
      <c r="M11">
        <v>2500</v>
      </c>
      <c r="N11">
        <f>L11-M11</f>
        <v>0</v>
      </c>
      <c r="O11">
        <f>K11+P11+S11+T11-M11-Q11-R11</f>
        <v>39929</v>
      </c>
      <c r="P11">
        <v>0</v>
      </c>
      <c r="Q11">
        <v>0</v>
      </c>
      <c r="R11">
        <v>1571</v>
      </c>
      <c r="S11">
        <v>2500</v>
      </c>
      <c r="T11">
        <v>0</v>
      </c>
    </row>
    <row r="13" spans="1:20" x14ac:dyDescent="0.25">
      <c r="A13">
        <v>3</v>
      </c>
      <c r="B13" t="s">
        <v>38</v>
      </c>
      <c r="C13">
        <v>30</v>
      </c>
      <c r="D13">
        <v>30</v>
      </c>
      <c r="E13">
        <v>27500</v>
      </c>
      <c r="F13">
        <f>E13/30</f>
        <v>916.6666666666666</v>
      </c>
      <c r="G13">
        <f>D13*F13</f>
        <v>27500</v>
      </c>
      <c r="I13">
        <f>H13/(8.5)*F13</f>
        <v>0</v>
      </c>
      <c r="J13">
        <v>0</v>
      </c>
      <c r="K13">
        <f>G13+I13+J13</f>
        <v>27500</v>
      </c>
      <c r="L13">
        <v>0</v>
      </c>
      <c r="M13">
        <v>0</v>
      </c>
      <c r="N13">
        <f>L13-M13</f>
        <v>0</v>
      </c>
      <c r="O13">
        <f>K13+P13+S13+T13-M13-Q13-R13</f>
        <v>29300</v>
      </c>
      <c r="P13">
        <v>1800</v>
      </c>
      <c r="Q13">
        <v>0</v>
      </c>
      <c r="R13">
        <v>0</v>
      </c>
      <c r="S13">
        <v>0</v>
      </c>
      <c r="T13">
        <v>0</v>
      </c>
    </row>
    <row r="15" spans="1:20" x14ac:dyDescent="0.25">
      <c r="A15">
        <v>4</v>
      </c>
      <c r="B15" t="s">
        <v>39</v>
      </c>
      <c r="C15">
        <v>30</v>
      </c>
      <c r="D15">
        <v>30</v>
      </c>
      <c r="E15">
        <v>23000</v>
      </c>
      <c r="F15">
        <f>E15/30</f>
        <v>766.6666666666666</v>
      </c>
      <c r="G15">
        <f>D15*F15</f>
        <v>23000</v>
      </c>
      <c r="H15">
        <v>34</v>
      </c>
      <c r="I15">
        <f>H15/(8.5)*F15</f>
        <v>3066.6666666666665</v>
      </c>
      <c r="J15">
        <v>2750</v>
      </c>
      <c r="K15">
        <f>G15+I15+J15</f>
        <v>28816.666666666668</v>
      </c>
      <c r="L15">
        <v>2000</v>
      </c>
      <c r="M15">
        <v>1000</v>
      </c>
      <c r="N15">
        <f>L15-M15</f>
        <v>1000</v>
      </c>
      <c r="O15">
        <f>K15+P15+S15+T15-M15-Q15-R15</f>
        <v>27562.666666666668</v>
      </c>
      <c r="P15">
        <v>0</v>
      </c>
      <c r="Q15">
        <v>0</v>
      </c>
      <c r="R15">
        <v>1454</v>
      </c>
      <c r="S15">
        <v>1200</v>
      </c>
      <c r="T15">
        <v>0</v>
      </c>
    </row>
    <row r="17" spans="1:20" x14ac:dyDescent="0.25">
      <c r="A17">
        <v>5</v>
      </c>
      <c r="B17" t="s">
        <v>40</v>
      </c>
      <c r="C17">
        <v>30</v>
      </c>
      <c r="D17">
        <v>29</v>
      </c>
      <c r="E17">
        <v>32000</v>
      </c>
      <c r="F17">
        <f>E17/30</f>
        <v>1066.6666666666667</v>
      </c>
      <c r="G17">
        <f>D17*F17</f>
        <v>30933.333333333336</v>
      </c>
      <c r="I17">
        <f>H17/(8.5)*F17</f>
        <v>0</v>
      </c>
      <c r="J17">
        <v>0</v>
      </c>
      <c r="K17">
        <f>G17+I17+J17</f>
        <v>30933.333333333336</v>
      </c>
      <c r="L17">
        <v>0</v>
      </c>
      <c r="M17">
        <v>0</v>
      </c>
      <c r="N17">
        <f>L17-M17</f>
        <v>0</v>
      </c>
      <c r="O17">
        <f>K17+P17+S17+T17-M17-Q17-R17</f>
        <v>31883.333333333336</v>
      </c>
      <c r="P17">
        <v>0</v>
      </c>
      <c r="Q17">
        <v>250</v>
      </c>
      <c r="R17">
        <v>0</v>
      </c>
      <c r="S17">
        <v>1200</v>
      </c>
      <c r="T17">
        <v>0</v>
      </c>
    </row>
    <row r="19" spans="1:20" x14ac:dyDescent="0.25">
      <c r="A19">
        <v>6</v>
      </c>
      <c r="B19" t="s">
        <v>41</v>
      </c>
      <c r="C19">
        <v>30</v>
      </c>
      <c r="D19">
        <v>25</v>
      </c>
      <c r="E19">
        <v>24000</v>
      </c>
      <c r="F19">
        <f>E19/30</f>
        <v>800</v>
      </c>
      <c r="G19">
        <f>D19*F19</f>
        <v>20000</v>
      </c>
      <c r="I19">
        <f>H19/(8.5)*F19</f>
        <v>0</v>
      </c>
      <c r="J19">
        <v>3750</v>
      </c>
      <c r="K19">
        <f>G19+I19+J19</f>
        <v>23750</v>
      </c>
      <c r="L19">
        <v>34000</v>
      </c>
      <c r="M19">
        <v>0</v>
      </c>
      <c r="N19">
        <f>L19-M19</f>
        <v>34000</v>
      </c>
      <c r="O19">
        <f>K19+P19+S19+T19-M19-Q19-R19</f>
        <v>22296</v>
      </c>
      <c r="P19">
        <v>0</v>
      </c>
      <c r="Q19">
        <v>0</v>
      </c>
      <c r="R19">
        <v>1454</v>
      </c>
      <c r="S19">
        <v>0</v>
      </c>
      <c r="T19">
        <v>0</v>
      </c>
    </row>
    <row r="21" spans="1:20" x14ac:dyDescent="0.25">
      <c r="A21">
        <v>7</v>
      </c>
      <c r="B21" t="s">
        <v>42</v>
      </c>
      <c r="C21">
        <v>30</v>
      </c>
      <c r="D21">
        <v>30</v>
      </c>
      <c r="E21">
        <v>24000</v>
      </c>
      <c r="F21">
        <f>E21/30</f>
        <v>800</v>
      </c>
      <c r="G21">
        <f>D21*F21</f>
        <v>24000</v>
      </c>
      <c r="H21">
        <v>44</v>
      </c>
      <c r="I21">
        <f>H21/(8.5)*F21</f>
        <v>4141.176470588235</v>
      </c>
      <c r="J21">
        <v>0</v>
      </c>
      <c r="K21">
        <f>G21+I21+J21</f>
        <v>28141.176470588234</v>
      </c>
      <c r="L21">
        <v>0</v>
      </c>
      <c r="M21">
        <v>0</v>
      </c>
      <c r="N21">
        <f>L21-M21</f>
        <v>0</v>
      </c>
      <c r="O21">
        <f>K21+P21+S21+T21-M21-Q21-R21</f>
        <v>30687.176470588234</v>
      </c>
      <c r="P21">
        <v>1000</v>
      </c>
      <c r="Q21">
        <v>0</v>
      </c>
      <c r="R21">
        <v>1454</v>
      </c>
      <c r="S21">
        <v>3000</v>
      </c>
      <c r="T21">
        <v>0</v>
      </c>
    </row>
    <row r="23" spans="1:20" x14ac:dyDescent="0.25">
      <c r="A23">
        <v>8</v>
      </c>
      <c r="B23" t="s">
        <v>43</v>
      </c>
      <c r="C23">
        <v>30</v>
      </c>
      <c r="D23">
        <v>26</v>
      </c>
      <c r="E23">
        <v>15000</v>
      </c>
      <c r="F23">
        <f>E23/30</f>
        <v>500</v>
      </c>
      <c r="G23">
        <f>D23*F23</f>
        <v>13000</v>
      </c>
      <c r="H23">
        <v>10</v>
      </c>
      <c r="I23">
        <f>H23/(8.5)*F23</f>
        <v>588.2352941176471</v>
      </c>
      <c r="J23">
        <v>0</v>
      </c>
      <c r="K23">
        <f>G23+I23+J23</f>
        <v>13588.235294117647</v>
      </c>
      <c r="L23">
        <v>0</v>
      </c>
      <c r="M23">
        <v>0</v>
      </c>
      <c r="N23">
        <f>L23-M23</f>
        <v>0</v>
      </c>
      <c r="O23">
        <f>K23+P23+S23+T23-M23-Q23-R23</f>
        <v>18588.235294117647</v>
      </c>
      <c r="P23">
        <v>0</v>
      </c>
      <c r="Q23">
        <v>0</v>
      </c>
      <c r="R23">
        <v>0</v>
      </c>
      <c r="S23">
        <v>0</v>
      </c>
      <c r="T23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2026-07-27T06:47:32Z</dcterms:created>
  <dcterms:modified xsi:type="dcterms:W3CDTF">2026-07-27T06:47:32Z</dcterms:modified>
</cp:coreProperties>
</file>